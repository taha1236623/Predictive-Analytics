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dictive Analytics\"/>
    </mc:Choice>
  </mc:AlternateContent>
  <xr:revisionPtr revIDLastSave="0" documentId="13_ncr:1_{1FA13069-ADAB-4A99-8AA5-064B99E211FA}" xr6:coauthVersionLast="47" xr6:coauthVersionMax="47" xr10:uidLastSave="{00000000-0000-0000-0000-000000000000}"/>
  <bookViews>
    <workbookView xWindow="-110" yWindow="-110" windowWidth="19420" windowHeight="10300" activeTab="1" xr2:uid="{AAFD9BCF-7417-40B2-8845-33E5E8C689F5}"/>
  </bookViews>
  <sheets>
    <sheet name="Sheet3" sheetId="3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" i="1" l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<sst xmlns="http://schemas.openxmlformats.org/spreadsheetml/2006/main" count="56" uniqueCount="38">
  <si>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</si>
  <si>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</si>
  <si>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</si>
  <si>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</si>
  <si>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</si>
  <si>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</si>
  <si>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</si>
  <si>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</si>
  <si>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Total price</t>
  </si>
  <si>
    <t>85123A</t>
  </si>
  <si>
    <t>WHITE HANGING HEART T-LIGHT HOLDER</t>
  </si>
  <si>
    <t>United Kingdom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</si>
  <si>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</si>
  <si>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</si>
  <si>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</si>
  <si>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</si>
  <si>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</si>
  <si>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</si>
  <si>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</si>
  <si>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</si>
  <si>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</si>
  <si>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</si>
  <si>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</si>
  <si>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</si>
  <si>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 xml:space="preserve">POPPY'S PLAYHOUSE BEDROOM </t>
  </si>
  <si>
    <t>POPPY'S PLAYHOUSE KITCHEN</t>
  </si>
  <si>
    <t>FELTCRAFT PRINCESS CHARLOTTE DOLL</t>
  </si>
  <si>
    <t xml:space="preserve">IVORY KNITTED MUG COSY </t>
  </si>
  <si>
    <t>BOX OF 6 ASSORTED COLOUR TEASPOONS</t>
  </si>
  <si>
    <t xml:space="preserve">BOX OF VINTAGE JIGSAW BLOCKS </t>
  </si>
  <si>
    <t>BOX OF VINTAGE ALPHABET BLOCKS</t>
  </si>
  <si>
    <t>HOME BUILDING BLOCK WORD</t>
  </si>
  <si>
    <t>LOVE BUILDING BLOCK WORD</t>
  </si>
  <si>
    <t>Sum of Total price</t>
  </si>
  <si>
    <t>Grand Total</t>
  </si>
  <si>
    <t>Row Labels</t>
  </si>
  <si>
    <t>Count of InvoiceDate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</si>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</sst>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right" indent="1"/>
    </xf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right" indent="1"/>
    </xf>
    <xf numFmtId="0" fontId="0" fillId="0" borderId="1" xfId="0" applyBorder="1" applyAlignment="1">
      <alignment horizontal="right"/>
    </xf>
    <xf numFmtId="0" fontId="0" fillId="0" borderId="1" xfId="0" applyBorder="1"/>
    <xf numFmtId="22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 Retail.xlsx]Sheet3!PivotTable1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Sheet3!$A$4:$A$6</c:f>
              <c:strCache>
                <c:ptCount val="2"/>
                <c:pt idx="0">
                  <c:v>13047</c:v>
                </c:pt>
                <c:pt idx="1">
                  <c:v>17850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75</c:v>
                </c:pt>
                <c:pt idx="1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D-43E8-819F-1AF63DF06DBA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Count of InvoiceDate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Sheet3!$A$4:$A$6</c:f>
              <c:strCache>
                <c:ptCount val="2"/>
                <c:pt idx="0">
                  <c:v>13047</c:v>
                </c:pt>
                <c:pt idx="1">
                  <c:v>17850</c:v>
                </c:pt>
              </c:strCache>
            </c:strRef>
          </c:cat>
          <c:val>
            <c:numRef>
              <c:f>Sheet3!$C$4:$C$6</c:f>
              <c:numCache>
                <c:formatCode>General</c:formatCode>
                <c:ptCount val="2"/>
                <c:pt idx="0">
                  <c:v>10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0D-43E8-819F-1AF63DF06DBA}"/>
            </c:ext>
          </c:extLst>
        </c:ser>
        <c:ser>
          <c:idx val="2"/>
          <c:order val="2"/>
          <c:tx>
            <c:strRef>
              <c:f>Sheet3!$D$3</c:f>
              <c:strCache>
                <c:ptCount val="1"/>
                <c:pt idx="0">
                  <c:v>Sum of Total price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Sheet3!$A$4:$A$6</c:f>
              <c:strCache>
                <c:ptCount val="2"/>
                <c:pt idx="0">
                  <c:v>13047</c:v>
                </c:pt>
                <c:pt idx="1">
                  <c:v>17850</c:v>
                </c:pt>
              </c:strCache>
            </c:strRef>
          </c:cat>
          <c:val>
            <c:numRef>
              <c:f>Sheet3!$D$4:$D$6</c:f>
              <c:numCache>
                <c:formatCode>General</c:formatCode>
                <c:ptCount val="2"/>
                <c:pt idx="0">
                  <c:v>215.13</c:v>
                </c:pt>
                <c:pt idx="1">
                  <c:v>161.32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0D-43E8-819F-1AF63DF06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2447168"/>
        <c:axId val="2097335824"/>
      </c:barChart>
      <c:catAx>
        <c:axId val="209244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335824"/>
        <c:crosses val="autoZero"/>
        <c:auto val="1"/>
        <c:lblAlgn val="ctr"/>
        <c:lblOffset val="100"/>
        <c:noMultiLvlLbl val="0"/>
      </c:catAx>
      <c:valAx>
        <c:axId val="209733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44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1212850</xdr:colOff>
      <xdr:row>6</xdr:row>
      <xdr:rowOff>127000</xdr:rowOff>
    </xdr:from>
    <xdr:to>
      <xdr:col>9</xdr:col>
      <xdr:colOff>317500</xdr:colOff>
      <xdr:row>21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5558F4-1E10-1B44-55EB-3FB5234092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15.828161805555" createdVersion="8" refreshedVersion="8" minRefreshableVersion="3" recordCount="19" xr:uid="{B6F89E48-81A3-4F4B-A56F-C7B1EC564004}">
  <cacheSource type="worksheet">
    <worksheetSource ref="A1:I20" sheet="Sheet1"/>
  </cacheSource>
  <cacheFields count="9">
    <cacheField name="InvoiceNo" numFmtId="0">
      <sharedItems containsSemiMixedTypes="0" containsString="0" containsNumber="1" containsInteger="1" minValue="536365" maxValue="536367"/>
    </cacheField>
    <cacheField name="StockCode" numFmtId="0">
      <sharedItems containsMixedTypes="1" containsNumber="1" containsInteger="1" minValue="21730" maxValue="84969"/>
    </cacheField>
    <cacheField name="Description" numFmtId="0">
      <sharedItems/>
    </cacheField>
    <cacheField name="Quantity" numFmtId="0">
      <sharedItems containsSemiMixedTypes="0" containsString="0" containsNumber="1" containsInteger="1" minValue="2" maxValue="32"/>
    </cacheField>
    <cacheField name="InvoiceDate" numFmtId="22">
      <sharedItems containsSemiMixedTypes="0" containsNonDate="0" containsDate="1" containsString="0" minDate="2010-12-01T08:26:00" maxDate="2010-12-01T08:34:00"/>
    </cacheField>
    <cacheField name="UnitPrice" numFmtId="0">
      <sharedItems containsSemiMixedTypes="0" containsString="0" containsNumber="1" minValue="1.65" maxValue="9.9499999999999993"/>
    </cacheField>
    <cacheField name="CustomerID" numFmtId="0">
      <sharedItems containsSemiMixedTypes="0" containsString="0" containsNumber="1" containsInteger="1" minValue="13047" maxValue="17850" count="2">
        <n v="17850"/>
        <n v="13047"/>
      </sharedItems>
    </cacheField>
    <cacheField name="Country" numFmtId="0">
      <sharedItems/>
    </cacheField>
    <cacheField name="Total price" numFmtId="0">
      <sharedItems containsSemiMixedTypes="0" containsString="0" containsNumber="1" minValue="9.8999999999999986" maxValue="54.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536365"/>
    <s v="85123A"/>
    <s v="WHITE HANGING HEART T-LIGHT HOLDER"/>
    <n v="6"/>
    <d v="2010-12-01T08:26:00"/>
    <n v="2.5499999999999998"/>
    <x v="0"/>
    <s v="United Kingdom"/>
    <n v="15.299999999999999"/>
  </r>
  <r>
    <n v="536365"/>
    <n v="71053"/>
    <s v="WHITE METAL LANTERN"/>
    <n v="6"/>
    <d v="2010-12-01T08:26:00"/>
    <n v="3.39"/>
    <x v="0"/>
    <s v="United Kingdom"/>
    <n v="20.34"/>
  </r>
  <r>
    <n v="536365"/>
    <s v="84406B"/>
    <s v="CREAM CUPID HEARTS COAT HANGER"/>
    <n v="8"/>
    <d v="2010-12-01T08:26:00"/>
    <n v="2.75"/>
    <x v="0"/>
    <s v="United Kingdom"/>
    <n v="22"/>
  </r>
  <r>
    <n v="536365"/>
    <s v="84029G"/>
    <s v="KNITTED UNION FLAG HOT WATER BOTTLE"/>
    <n v="6"/>
    <d v="2010-12-01T08:26:00"/>
    <n v="3.39"/>
    <x v="0"/>
    <s v="United Kingdom"/>
    <n v="20.34"/>
  </r>
  <r>
    <n v="536365"/>
    <s v="84029E"/>
    <s v="RED WOOLLY HOTTIE WHITE HEART."/>
    <n v="6"/>
    <d v="2010-12-01T08:26:00"/>
    <n v="3.39"/>
    <x v="0"/>
    <s v="United Kingdom"/>
    <n v="20.34"/>
  </r>
  <r>
    <n v="536365"/>
    <n v="22752"/>
    <s v="SET 7 BABUSHKA NESTING BOXES"/>
    <n v="2"/>
    <d v="2010-12-01T08:26:00"/>
    <n v="7.65"/>
    <x v="0"/>
    <s v="United Kingdom"/>
    <n v="15.3"/>
  </r>
  <r>
    <n v="536365"/>
    <n v="21730"/>
    <s v="GLASS STAR FROSTED T-LIGHT HOLDER"/>
    <n v="6"/>
    <d v="2010-12-01T08:26:00"/>
    <n v="4.25"/>
    <x v="0"/>
    <s v="United Kingdom"/>
    <n v="25.5"/>
  </r>
  <r>
    <n v="536366"/>
    <n v="22633"/>
    <s v="HAND WARMER UNION JACK"/>
    <n v="6"/>
    <d v="2010-12-01T08:28:00"/>
    <n v="1.85"/>
    <x v="0"/>
    <s v="United Kingdom"/>
    <n v="11.100000000000001"/>
  </r>
  <r>
    <n v="536366"/>
    <n v="22632"/>
    <s v="HAND WARMER RED POLKA DOT"/>
    <n v="6"/>
    <d v="2010-12-01T08:28:00"/>
    <n v="1.85"/>
    <x v="0"/>
    <s v="United Kingdom"/>
    <n v="11.100000000000001"/>
  </r>
  <r>
    <n v="536367"/>
    <n v="84879"/>
    <s v="ASSORTED COLOUR BIRD ORNAMENT"/>
    <n v="32"/>
    <d v="2010-12-01T08:34:00"/>
    <n v="1.69"/>
    <x v="1"/>
    <s v="United Kingdom"/>
    <n v="54.08"/>
  </r>
  <r>
    <n v="536367"/>
    <n v="22745"/>
    <s v="POPPY'S PLAYHOUSE BEDROOM "/>
    <n v="6"/>
    <d v="2010-12-01T08:34:00"/>
    <n v="2.1"/>
    <x v="1"/>
    <s v="United Kingdom"/>
    <n v="12.600000000000001"/>
  </r>
  <r>
    <n v="536367"/>
    <n v="22748"/>
    <s v="POPPY'S PLAYHOUSE KITCHEN"/>
    <n v="6"/>
    <d v="2010-12-01T08:34:00"/>
    <n v="2.1"/>
    <x v="1"/>
    <s v="United Kingdom"/>
    <n v="12.600000000000001"/>
  </r>
  <r>
    <n v="536367"/>
    <n v="22749"/>
    <s v="FELTCRAFT PRINCESS CHARLOTTE DOLL"/>
    <n v="8"/>
    <d v="2010-12-01T08:34:00"/>
    <n v="3.75"/>
    <x v="1"/>
    <s v="United Kingdom"/>
    <n v="30"/>
  </r>
  <r>
    <n v="536367"/>
    <n v="22310"/>
    <s v="IVORY KNITTED MUG COSY "/>
    <n v="6"/>
    <d v="2010-12-01T08:34:00"/>
    <n v="1.65"/>
    <x v="1"/>
    <s v="United Kingdom"/>
    <n v="9.8999999999999986"/>
  </r>
  <r>
    <n v="536367"/>
    <n v="84969"/>
    <s v="BOX OF 6 ASSORTED COLOUR TEASPOONS"/>
    <n v="6"/>
    <d v="2010-12-01T08:34:00"/>
    <n v="4.25"/>
    <x v="1"/>
    <s v="United Kingdom"/>
    <n v="25.5"/>
  </r>
  <r>
    <n v="536367"/>
    <n v="22623"/>
    <s v="BOX OF VINTAGE JIGSAW BLOCKS "/>
    <n v="3"/>
    <d v="2010-12-01T08:34:00"/>
    <n v="4.95"/>
    <x v="1"/>
    <s v="United Kingdom"/>
    <n v="14.850000000000001"/>
  </r>
  <r>
    <n v="536367"/>
    <n v="22622"/>
    <s v="BOX OF VINTAGE ALPHABET BLOCKS"/>
    <n v="2"/>
    <d v="2010-12-01T08:34:00"/>
    <n v="9.9499999999999993"/>
    <x v="1"/>
    <s v="United Kingdom"/>
    <n v="19.899999999999999"/>
  </r>
  <r>
    <n v="536367"/>
    <n v="21754"/>
    <s v="HOME BUILDING BLOCK WORD"/>
    <n v="3"/>
    <d v="2010-12-01T08:34:00"/>
    <n v="5.95"/>
    <x v="1"/>
    <s v="United Kingdom"/>
    <n v="17.850000000000001"/>
  </r>
  <r>
    <n v="536367"/>
    <n v="21755"/>
    <s v="LOVE BUILDING BLOCK WORD"/>
    <n v="3"/>
    <d v="2010-12-01T08:34:00"/>
    <n v="5.95"/>
    <x v="1"/>
    <s v="United Kingdom"/>
    <n v="17.850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08DC04-48EC-4B30-AA97-794A6B66D0B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6" firstHeaderRow="0" firstDataRow="1" firstDataCol="1"/>
  <pivotFields count="9">
    <pivotField showAll="0"/>
    <pivotField showAll="0"/>
    <pivotField showAll="0"/>
    <pivotField dataField="1" showAll="0"/>
    <pivotField dataField="1" numFmtId="22"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</pivotFields>
  <rowFields count="1">
    <field x="6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3" baseField="0" baseItem="0"/>
    <dataField name="Count of InvoiceDate" fld="4" subtotal="count" baseField="0" baseItem="0"/>
    <dataField name="Sum of Total price" fld="8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5A1D6-D556-4D34-86B8-FFE75423CCEC}">
  <dimension ref="A3:D6"/>
  <sheetViews>
    <sheetView topLeftCell="A3" workbookViewId="0">
      <selection activeCell="C5" sqref="C5"/>
    </sheetView>
  </sheetViews>
  <sheetFormatPr defaultRowHeight="14.5" x14ac:dyDescent="0.35"/>
  <cols>
    <col min="1" max="1" width="12.36328125" bestFit="1" customWidth="1"/>
    <col min="2" max="2" width="14.54296875" bestFit="1" customWidth="1"/>
    <col min="3" max="3" width="18.6328125" bestFit="1" customWidth="1"/>
    <col min="4" max="4" width="16" bestFit="1" customWidth="1"/>
  </cols>
  <sheetData>
    <row r="3" spans="1:4" x14ac:dyDescent="0.35">
      <c r="A3" s="11" t="s">
        <v>35</v>
      </c>
      <c r="B3" t="s">
        <v>37</v>
      </c>
      <c r="C3" t="s">
        <v>36</v>
      </c>
      <c r="D3" t="s">
        <v>33</v>
      </c>
    </row>
    <row r="4" spans="1:4" x14ac:dyDescent="0.35">
      <c r="A4" s="1">
        <v>13047</v>
      </c>
      <c r="B4">
        <v>75</v>
      </c>
      <c r="C4">
        <v>10</v>
      </c>
      <c r="D4">
        <v>215.13</v>
      </c>
    </row>
    <row r="5" spans="1:4" x14ac:dyDescent="0.35">
      <c r="A5" s="1">
        <v>17850</v>
      </c>
      <c r="B5">
        <v>52</v>
      </c>
      <c r="C5">
        <v>9</v>
      </c>
      <c r="D5">
        <v>161.32</v>
      </c>
    </row>
    <row r="6" spans="1:4" x14ac:dyDescent="0.35">
      <c r="A6" s="1" t="s">
        <v>34</v>
      </c>
      <c r="B6">
        <v>127</v>
      </c>
      <c r="C6">
        <v>19</v>
      </c>
      <c r="D6">
        <v>376.45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435E8-F4E7-4D99-A0B5-A7BB1FF4B4BC}">
  <dimension ref="A1:I20"/>
  <sheetViews>
    <sheetView tabSelected="1" topLeftCell="A3" workbookViewId="0">
      <selection activeCell="E21" sqref="E21"/>
    </sheetView>
  </sheetViews>
  <sheetFormatPr defaultRowHeight="14.5" x14ac:dyDescent="0.35"/>
  <cols>
    <col min="1" max="1" width="11" customWidth="1"/>
    <col min="2" max="2" width="10.08984375" customWidth="1"/>
    <col min="3" max="3" width="40.54296875" customWidth="1"/>
    <col min="5" max="5" width="17.36328125" customWidth="1"/>
    <col min="6" max="6" width="12.08984375" customWidth="1"/>
    <col min="7" max="7" width="13.7265625" customWidth="1"/>
    <col min="8" max="8" width="19.453125" customWidth="1"/>
    <col min="9" max="9" width="25.08984375" customWidth="1"/>
  </cols>
  <sheetData>
    <row r="1" spans="1:9" x14ac:dyDescent="0.3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</row>
    <row r="2" spans="1:9" x14ac:dyDescent="0.35">
      <c r="A2" s="6">
        <v>536365</v>
      </c>
      <c r="B2" s="7" t="s">
        <v>9</v>
      </c>
      <c r="C2" s="8" t="s">
        <v>10</v>
      </c>
      <c r="D2" s="8">
        <v>6</v>
      </c>
      <c r="E2" s="9">
        <v>40513.351388888892</v>
      </c>
      <c r="F2" s="8">
        <v>2.5499999999999998</v>
      </c>
      <c r="G2" s="10">
        <v>17850</v>
      </c>
      <c r="H2" s="8" t="s">
        <v>11</v>
      </c>
      <c r="I2" s="8">
        <f>D2*F2</f>
        <v>15.299999999999999</v>
      </c>
    </row>
    <row r="3" spans="1:9" x14ac:dyDescent="0.35">
      <c r="A3" s="6">
        <v>536365</v>
      </c>
      <c r="B3" s="7">
        <v>71053</v>
      </c>
      <c r="C3" s="8" t="s">
        <v>12</v>
      </c>
      <c r="D3" s="8">
        <v>6</v>
      </c>
      <c r="E3" s="9">
        <v>40514.351388888892</v>
      </c>
      <c r="F3" s="8">
        <v>3.39</v>
      </c>
      <c r="G3" s="10">
        <v>17850</v>
      </c>
      <c r="H3" s="8" t="s">
        <v>11</v>
      </c>
      <c r="I3" s="8">
        <f>D3*F3</f>
        <v>20.34</v>
      </c>
    </row>
    <row r="4" spans="1:9" x14ac:dyDescent="0.35">
      <c r="A4" s="6">
        <v>536365</v>
      </c>
      <c r="B4" s="7" t="s">
        <v>13</v>
      </c>
      <c r="C4" s="8" t="s">
        <v>14</v>
      </c>
      <c r="D4" s="8">
        <v>8</v>
      </c>
      <c r="E4" s="9">
        <v>40515.351388888892</v>
      </c>
      <c r="F4" s="8">
        <v>2.75</v>
      </c>
      <c r="G4" s="10">
        <v>17850</v>
      </c>
      <c r="H4" s="8" t="s">
        <v>11</v>
      </c>
      <c r="I4" s="8">
        <f t="shared" ref="I4:I20" si="0">D4*F4</f>
        <v>22</v>
      </c>
    </row>
    <row r="5" spans="1:9" x14ac:dyDescent="0.35">
      <c r="A5" s="6">
        <v>536365</v>
      </c>
      <c r="B5" s="7" t="s">
        <v>15</v>
      </c>
      <c r="C5" s="8" t="s">
        <v>16</v>
      </c>
      <c r="D5" s="8">
        <v>6</v>
      </c>
      <c r="E5" s="9">
        <v>40516.351388888892</v>
      </c>
      <c r="F5" s="8">
        <v>3.39</v>
      </c>
      <c r="G5" s="10">
        <v>17850</v>
      </c>
      <c r="H5" s="8" t="s">
        <v>11</v>
      </c>
      <c r="I5" s="8">
        <f t="shared" si="0"/>
        <v>20.34</v>
      </c>
    </row>
    <row r="6" spans="1:9" x14ac:dyDescent="0.35">
      <c r="A6" s="6">
        <v>536365</v>
      </c>
      <c r="B6" s="7" t="s">
        <v>17</v>
      </c>
      <c r="C6" s="8" t="s">
        <v>18</v>
      </c>
      <c r="D6" s="8">
        <v>6</v>
      </c>
      <c r="E6" s="9">
        <v>40517.351388888892</v>
      </c>
      <c r="F6" s="8">
        <v>3.39</v>
      </c>
      <c r="G6" s="10">
        <v>17850</v>
      </c>
      <c r="H6" s="8" t="s">
        <v>11</v>
      </c>
      <c r="I6" s="8">
        <f t="shared" si="0"/>
        <v>20.34</v>
      </c>
    </row>
    <row r="7" spans="1:9" x14ac:dyDescent="0.35">
      <c r="A7" s="6">
        <v>536365</v>
      </c>
      <c r="B7" s="7">
        <v>22752</v>
      </c>
      <c r="C7" s="8" t="s">
        <v>19</v>
      </c>
      <c r="D7" s="8">
        <v>2</v>
      </c>
      <c r="E7" s="9">
        <v>40518.351388888892</v>
      </c>
      <c r="F7" s="8">
        <v>7.65</v>
      </c>
      <c r="G7" s="10">
        <v>17850</v>
      </c>
      <c r="H7" s="8" t="s">
        <v>11</v>
      </c>
      <c r="I7" s="8">
        <f t="shared" si="0"/>
        <v>15.3</v>
      </c>
    </row>
    <row r="8" spans="1:9" x14ac:dyDescent="0.35">
      <c r="A8" s="6">
        <v>536365</v>
      </c>
      <c r="B8" s="7">
        <v>21730</v>
      </c>
      <c r="C8" s="8" t="s">
        <v>20</v>
      </c>
      <c r="D8" s="8">
        <v>6</v>
      </c>
      <c r="E8" s="9">
        <v>40519.351388888892</v>
      </c>
      <c r="F8" s="8">
        <v>4.25</v>
      </c>
      <c r="G8" s="10">
        <v>17850</v>
      </c>
      <c r="H8" s="8" t="s">
        <v>11</v>
      </c>
      <c r="I8" s="8">
        <f t="shared" si="0"/>
        <v>25.5</v>
      </c>
    </row>
    <row r="9" spans="1:9" x14ac:dyDescent="0.35">
      <c r="A9" s="6">
        <v>536366</v>
      </c>
      <c r="B9" s="7">
        <v>22633</v>
      </c>
      <c r="C9" s="8" t="s">
        <v>21</v>
      </c>
      <c r="D9" s="8">
        <v>6</v>
      </c>
      <c r="E9" s="9">
        <v>40520.351388888892</v>
      </c>
      <c r="F9" s="8">
        <v>1.85</v>
      </c>
      <c r="G9" s="10">
        <v>17850</v>
      </c>
      <c r="H9" s="8" t="s">
        <v>11</v>
      </c>
      <c r="I9" s="8">
        <f t="shared" si="0"/>
        <v>11.100000000000001</v>
      </c>
    </row>
    <row r="10" spans="1:9" x14ac:dyDescent="0.35">
      <c r="A10" s="6">
        <v>536366</v>
      </c>
      <c r="B10" s="7">
        <v>22632</v>
      </c>
      <c r="C10" s="8" t="s">
        <v>22</v>
      </c>
      <c r="D10" s="8">
        <v>6</v>
      </c>
      <c r="E10" s="9">
        <v>40521.351388888892</v>
      </c>
      <c r="F10" s="8">
        <v>1.85</v>
      </c>
      <c r="G10" s="10">
        <v>17850</v>
      </c>
      <c r="H10" s="8" t="s">
        <v>11</v>
      </c>
      <c r="I10" s="8">
        <f t="shared" si="0"/>
        <v>11.100000000000001</v>
      </c>
    </row>
    <row r="11" spans="1:9" x14ac:dyDescent="0.35">
      <c r="A11" s="6">
        <v>536367</v>
      </c>
      <c r="B11" s="7">
        <v>84879</v>
      </c>
      <c r="C11" s="8" t="s">
        <v>23</v>
      </c>
      <c r="D11" s="8">
        <v>32</v>
      </c>
      <c r="E11" s="9">
        <v>40522.351388888892</v>
      </c>
      <c r="F11" s="8">
        <v>1.69</v>
      </c>
      <c r="G11" s="10">
        <v>13047</v>
      </c>
      <c r="H11" s="8" t="s">
        <v>11</v>
      </c>
      <c r="I11" s="8">
        <f t="shared" si="0"/>
        <v>54.08</v>
      </c>
    </row>
    <row r="12" spans="1:9" x14ac:dyDescent="0.35">
      <c r="A12" s="6">
        <v>536367</v>
      </c>
      <c r="B12" s="7">
        <v>22745</v>
      </c>
      <c r="C12" s="8" t="s">
        <v>24</v>
      </c>
      <c r="D12" s="8">
        <v>6</v>
      </c>
      <c r="E12" s="9">
        <v>40523.351388888892</v>
      </c>
      <c r="F12" s="8">
        <v>2.1</v>
      </c>
      <c r="G12" s="10">
        <v>13047</v>
      </c>
      <c r="H12" s="8" t="s">
        <v>11</v>
      </c>
      <c r="I12" s="8">
        <f t="shared" si="0"/>
        <v>12.600000000000001</v>
      </c>
    </row>
    <row r="13" spans="1:9" x14ac:dyDescent="0.35">
      <c r="A13" s="6">
        <v>536367</v>
      </c>
      <c r="B13" s="7">
        <v>22748</v>
      </c>
      <c r="C13" s="8" t="s">
        <v>25</v>
      </c>
      <c r="D13" s="8">
        <v>6</v>
      </c>
      <c r="E13" s="9">
        <v>40524.351388888892</v>
      </c>
      <c r="F13" s="8">
        <v>2.1</v>
      </c>
      <c r="G13" s="10">
        <v>13047</v>
      </c>
      <c r="H13" s="8" t="s">
        <v>11</v>
      </c>
      <c r="I13" s="8">
        <f t="shared" si="0"/>
        <v>12.600000000000001</v>
      </c>
    </row>
    <row r="14" spans="1:9" x14ac:dyDescent="0.35">
      <c r="A14" s="6">
        <v>536367</v>
      </c>
      <c r="B14" s="7">
        <v>22749</v>
      </c>
      <c r="C14" s="8" t="s">
        <v>26</v>
      </c>
      <c r="D14" s="8">
        <v>8</v>
      </c>
      <c r="E14" s="9">
        <v>40525.351388888892</v>
      </c>
      <c r="F14" s="8">
        <v>3.75</v>
      </c>
      <c r="G14" s="10">
        <v>13047</v>
      </c>
      <c r="H14" s="8" t="s">
        <v>11</v>
      </c>
      <c r="I14" s="8">
        <f t="shared" si="0"/>
        <v>30</v>
      </c>
    </row>
    <row r="15" spans="1:9" x14ac:dyDescent="0.35">
      <c r="A15" s="6">
        <v>536367</v>
      </c>
      <c r="B15" s="7">
        <v>22310</v>
      </c>
      <c r="C15" s="8" t="s">
        <v>27</v>
      </c>
      <c r="D15" s="8">
        <v>6</v>
      </c>
      <c r="E15" s="9">
        <v>40526.351388888892</v>
      </c>
      <c r="F15" s="8">
        <v>1.65</v>
      </c>
      <c r="G15" s="10">
        <v>13047</v>
      </c>
      <c r="H15" s="8" t="s">
        <v>11</v>
      </c>
      <c r="I15" s="8">
        <f t="shared" si="0"/>
        <v>9.8999999999999986</v>
      </c>
    </row>
    <row r="16" spans="1:9" x14ac:dyDescent="0.35">
      <c r="A16" s="6">
        <v>536367</v>
      </c>
      <c r="B16" s="7">
        <v>84969</v>
      </c>
      <c r="C16" s="8" t="s">
        <v>28</v>
      </c>
      <c r="D16" s="8">
        <v>6</v>
      </c>
      <c r="E16" s="9">
        <v>40527.351388888892</v>
      </c>
      <c r="F16" s="8">
        <v>4.25</v>
      </c>
      <c r="G16" s="10">
        <v>13047</v>
      </c>
      <c r="H16" s="8" t="s">
        <v>11</v>
      </c>
      <c r="I16" s="8">
        <f t="shared" si="0"/>
        <v>25.5</v>
      </c>
    </row>
    <row r="17" spans="1:9" x14ac:dyDescent="0.35">
      <c r="A17" s="6">
        <v>536367</v>
      </c>
      <c r="B17" s="7">
        <v>22623</v>
      </c>
      <c r="C17" s="8" t="s">
        <v>29</v>
      </c>
      <c r="D17" s="8">
        <v>3</v>
      </c>
      <c r="E17" s="9">
        <v>40528.351388888892</v>
      </c>
      <c r="F17" s="8">
        <v>4.95</v>
      </c>
      <c r="G17" s="10">
        <v>13047</v>
      </c>
      <c r="H17" s="8" t="s">
        <v>11</v>
      </c>
      <c r="I17" s="8">
        <f t="shared" si="0"/>
        <v>14.850000000000001</v>
      </c>
    </row>
    <row r="18" spans="1:9" x14ac:dyDescent="0.35">
      <c r="A18" s="6">
        <v>536367</v>
      </c>
      <c r="B18" s="7">
        <v>22622</v>
      </c>
      <c r="C18" s="8" t="s">
        <v>30</v>
      </c>
      <c r="D18" s="8">
        <v>2</v>
      </c>
      <c r="E18" s="9">
        <v>40529.351388888892</v>
      </c>
      <c r="F18" s="8">
        <v>9.9499999999999993</v>
      </c>
      <c r="G18" s="10">
        <v>13047</v>
      </c>
      <c r="H18" s="8" t="s">
        <v>11</v>
      </c>
      <c r="I18" s="8">
        <f t="shared" si="0"/>
        <v>19.899999999999999</v>
      </c>
    </row>
    <row r="19" spans="1:9" x14ac:dyDescent="0.35">
      <c r="A19" s="6">
        <v>536367</v>
      </c>
      <c r="B19" s="7">
        <v>21754</v>
      </c>
      <c r="C19" s="8" t="s">
        <v>31</v>
      </c>
      <c r="D19" s="8">
        <v>3</v>
      </c>
      <c r="E19" s="9">
        <v>40530.351388888892</v>
      </c>
      <c r="F19" s="8">
        <v>5.95</v>
      </c>
      <c r="G19" s="10">
        <v>13047</v>
      </c>
      <c r="H19" s="8" t="s">
        <v>11</v>
      </c>
      <c r="I19" s="8">
        <f t="shared" si="0"/>
        <v>17.850000000000001</v>
      </c>
    </row>
    <row r="20" spans="1:9" x14ac:dyDescent="0.35">
      <c r="A20" s="6">
        <v>536367</v>
      </c>
      <c r="B20" s="7">
        <v>21755</v>
      </c>
      <c r="C20" s="8" t="s">
        <v>32</v>
      </c>
      <c r="D20" s="8">
        <v>3</v>
      </c>
      <c r="E20" s="9">
        <v>40531.351388888892</v>
      </c>
      <c r="F20" s="8">
        <v>5.95</v>
      </c>
      <c r="G20" s="10">
        <v>13047</v>
      </c>
      <c r="H20" s="8" t="s">
        <v>11</v>
      </c>
      <c r="I20" s="8">
        <f t="shared" si="0"/>
        <v>17.850000000000001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 Shaikh</dc:creator>
  <cp:lastModifiedBy>Taha Shaikh</cp:lastModifiedBy>
  <dcterms:created xsi:type="dcterms:W3CDTF">2026-07-12T13:57:38Z</dcterms:created>
  <dcterms:modified xsi:type="dcterms:W3CDTF">2026-07-19T15:19:58Z</dcterms:modified>
</cp:coreProperties>
</file>